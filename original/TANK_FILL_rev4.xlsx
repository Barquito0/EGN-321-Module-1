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b2ff4286a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nk Fill" sheetId="1" r:id="Ree71fedab9cc43ac"/>
    <x:sheet xmlns:r="http://schemas.openxmlformats.org/officeDocument/2006/relationships" name="Field Notes" sheetId="2" r:id="R71dc7b0576894bdb"/>
    <x:sheet xmlns:r="http://schemas.openxmlformats.org/officeDocument/2006/relationships" name="Read Me" sheetId="3" r:id="Re6844fa6ed1e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color rgb="FF555555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8B0000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B7B7B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201" fontId="2" fillId="6" borderId="0" xfId="0" applyNumberFormat="1" applyFont="1" applyFill="1" applyBorder="1"/>
    <x:xf numFmtId="201" fontId="2" fillId="6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dc487bc614df0" /><Relationship Type="http://schemas.openxmlformats.org/officeDocument/2006/relationships/theme" Target="/xl/theme/theme1.xml" Id="R55c36ede71bb41c0" /><Relationship Type="http://schemas.openxmlformats.org/officeDocument/2006/relationships/sharedStrings" Target="/xl/sharedStrings.xml" Id="Reada05e4a8094616" /><Relationship Type="http://schemas.openxmlformats.org/officeDocument/2006/relationships/worksheet" Target="/xl/worksheets/sheet1.xml" Id="Ree71fedab9cc43ac" /><Relationship Type="http://schemas.openxmlformats.org/officeDocument/2006/relationships/worksheet" Target="/xl/worksheets/sheet2.xml" Id="R71dc7b0576894bdb" /><Relationship Type="http://schemas.openxmlformats.org/officeDocument/2006/relationships/worksheet" Target="/xl/worksheets/sheet3.xml" Id="Re6844fa6ed1e45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7" hidden="0" customWidth="1"/>
    <x:col min="5" max="5" width="17" hidden="0" customWidth="1"/>
    <x:col min="6" max="6" width="34" hidden="0" customWidth="1"/>
    <x:col min="7" max="7" width="23" hidden="0" customWidth="1"/>
  </x:cols>
  <x:sheetData>
    <x:row r="1">
      <x:c r="A1" s="4" t="str">
        <x:v>TANK_FILL_rev4 — Production Fill Log</x:v>
      </x:c>
      <x:c r="B1" s="4"/>
      <x:c r="C1" s="4"/>
      <x:c r="D1" s="4"/>
      <x:c r="E1" s="4"/>
      <x:c r="F1" s="4"/>
      <x:c r="G1" s="4"/>
    </x:row>
    <x:row r="2">
      <x:c r="A2" s="22" t="str">
        <x:v>Legacy worksheet — inspect manually before writing code</x:v>
      </x:c>
      <x:c r="B2" s="22"/>
      <x:c r="C2" s="22"/>
      <x:c r="D2" s="22"/>
      <x:c r="E2" s="22"/>
      <x:c r="F2" s="22"/>
      <x:c r="G2" s="22"/>
    </x:row>
    <x:row r="5">
      <x:c r="A5" s="29" t="str">
        <x:v>Run ID</x:v>
      </x:c>
      <x:c r="B5" s="29" t="str">
        <x:v>Date</x:v>
      </x:c>
      <x:c r="C5" s="29" t="str">
        <x:v>Tank Length (ft)</x:v>
      </x:c>
      <x:c r="D5" s="29" t="str">
        <x:v>Tank Width (ft)</x:v>
      </x:c>
      <x:c r="E5" s="29" t="str">
        <x:v>Fill Depth (in)</x:v>
      </x:c>
      <x:c r="F5" s="29" t="str">
        <x:v>Operator Note</x:v>
      </x:c>
      <x:c r="G5" s="29" t="str">
        <x:v>Calculated Volume (gal)</x:v>
      </x:c>
    </x:row>
    <x:row r="6">
      <x:c r="A6" t="str">
        <x:v>R-101</x:v>
      </x:c>
      <x:c r="B6" s="34" t="n">
        <x:v>46175</x:v>
      </x:c>
      <x:c r="C6" s="36" t="n">
        <x:v>10</x:v>
      </x:c>
      <x:c r="D6" s="36" t="n">
        <x:v>6</x:v>
      </x:c>
      <x:c r="E6" s="36" t="n">
        <x:v>8</x:v>
      </x:c>
      <x:c r="F6" s="17" t="str"/>
      <x:c r="G6" s="36" t="n">
        <x:f>C6*D6*(E6/12)*7.48052</x:f>
        <x:v>299.2208</x:v>
      </x:c>
    </x:row>
    <x:row r="7">
      <x:c r="A7" t="str">
        <x:v>R-102</x:v>
      </x:c>
      <x:c r="B7" s="34" t="n">
        <x:v>46177</x:v>
      </x:c>
      <x:c r="C7" s="36" t="n">
        <x:v>10</x:v>
      </x:c>
      <x:c r="D7" s="36" t="n">
        <x:v>6</x:v>
      </x:c>
      <x:c r="E7" s="36" t="n">
        <x:v>10.5</x:v>
      </x:c>
      <x:c r="F7" s="17" t="str"/>
      <x:c r="G7" s="36" t="n">
        <x:f>C7*D7*(E7/12)*7.48052</x:f>
        <x:v>392.7273</x:v>
      </x:c>
    </x:row>
    <x:row r="8">
      <x:c r="A8" t="str">
        <x:v>R-103</x:v>
      </x:c>
      <x:c r="B8" s="34" t="n">
        <x:v>46179</x:v>
      </x:c>
      <x:c r="C8" s="36" t="n">
        <x:v>10</x:v>
      </x:c>
      <x:c r="D8" s="36" t="n">
        <x:v>6</x:v>
      </x:c>
      <x:c r="E8" s="36" t="n">
        <x:v>12</x:v>
      </x:c>
      <x:c r="F8" s="17" t="str">
        <x:v>Routine verification run</x:v>
      </x:c>
      <x:c r="G8" s="36" t="n">
        <x:f>C8*D8*(E8/12)*7.48052</x:f>
        <x:v>448.8312</x:v>
      </x:c>
    </x:row>
    <x:row r="9">
      <x:c r="A9" t="str">
        <x:v>R-104</x:v>
      </x:c>
      <x:c r="B9" s="34" t="n">
        <x:v>46181</x:v>
      </x:c>
      <x:c r="C9" s="36" t="n">
        <x:v>10</x:v>
      </x:c>
      <x:c r="D9" s="36" t="n">
        <x:v>6</x:v>
      </x:c>
      <x:c r="E9" s="36" t="n">
        <x:v>15</x:v>
      </x:c>
      <x:c r="F9" s="17" t="str"/>
      <x:c r="G9" s="36" t="n">
        <x:f>C9*D9*(E9/12)*7.48052</x:f>
        <x:v>561.039</x:v>
      </x:c>
    </x:row>
    <x:row r="10">
      <x:c r="A10" t="str">
        <x:v>R-105</x:v>
      </x:c>
      <x:c r="B10" s="34" t="n">
        <x:v>46183</x:v>
      </x:c>
      <x:c r="C10" s="36" t="n">
        <x:v>10</x:v>
      </x:c>
      <x:c r="D10" s="36" t="n">
        <x:v>6</x:v>
      </x:c>
      <x:c r="E10" s="36" t="n">
        <x:v>18</x:v>
      </x:c>
      <x:c r="F10" s="17" t="str"/>
      <x:c r="G10" s="36" t="n">
        <x:f>C10*D10*(E10/12)*7.48052</x:f>
        <x:v>673.2468</x:v>
      </x:c>
    </x:row>
    <x:row r="11">
      <x:c r="A11" t="str">
        <x:v>R-106</x:v>
      </x:c>
      <x:c r="B11" s="34" t="n">
        <x:v>46185</x:v>
      </x:c>
      <x:c r="C11" s="36" t="n">
        <x:v>10</x:v>
      </x:c>
      <x:c r="D11" s="36" t="n">
        <x:v>6</x:v>
      </x:c>
      <x:c r="E11" s="36" t="n">
        <x:v>21.5</x:v>
      </x:c>
      <x:c r="F11" s="17" t="str"/>
      <x:c r="G11" s="36" t="n">
        <x:f>C11*D11*(E11/12)*7.48052</x:f>
        <x:v>804.1559</x:v>
      </x:c>
    </x:row>
    <x:row r="12">
      <x:c r="A12" t="str">
        <x:v>R-107</x:v>
      </x:c>
      <x:c r="B12" s="34" t="n">
        <x:v>46187</x:v>
      </x:c>
      <x:c r="C12" s="36" t="n">
        <x:v>10</x:v>
      </x:c>
      <x:c r="D12" s="36" t="n">
        <x:v>6</x:v>
      </x:c>
      <x:c r="E12" s="36" t="n">
        <x:v>24</x:v>
      </x:c>
      <x:c r="F12" s="17" t="str"/>
      <x:c r="G12" s="36" t="n">
        <x:f>C12*D12*(E12/12)*7.48052</x:f>
        <x:v>897.6624</x:v>
      </x:c>
    </x:row>
    <x:row r="13">
      <x:c r="A13" t="str">
        <x:v>R-108</x:v>
      </x:c>
      <x:c r="B13" s="34" t="n">
        <x:v>46189</x:v>
      </x:c>
      <x:c r="C13" s="36" t="n">
        <x:v>10</x:v>
      </x:c>
      <x:c r="D13" s="36" t="n">
        <x:v>6</x:v>
      </x:c>
      <x:c r="E13" s="36" t="n">
        <x:v>2.5</x:v>
      </x:c>
      <x:c r="F13" s="17" t="str">
        <x:v>Transferred from handwritten field log</x:v>
      </x:c>
      <x:c r="G13" s="36" t="n">
        <x:f>C13*D13*(E13/12)*7.48052</x:f>
        <x:v>93.5065</x:v>
      </x:c>
    </x:row>
    <x:row r="14">
      <x:c r="A14" t="str">
        <x:v>R-109</x:v>
      </x:c>
      <x:c r="B14" s="34" t="n">
        <x:v>46191</x:v>
      </x:c>
      <x:c r="C14" s="36" t="n">
        <x:v>10</x:v>
      </x:c>
      <x:c r="D14" s="36" t="n">
        <x:v>6</x:v>
      </x:c>
      <x:c r="E14" s="36" t="n">
        <x:v>26</x:v>
      </x:c>
      <x:c r="F14" s="17" t="str"/>
      <x:c r="G14" s="36" t="n">
        <x:f>C14*D14*(E14/12)*7.48052</x:f>
        <x:v>972.4676000000001</x:v>
      </x:c>
    </x:row>
    <x:row r="15">
      <x:c r="A15" t="str">
        <x:v>R-110</x:v>
      </x:c>
      <x:c r="B15" s="34" t="n">
        <x:v>46193</x:v>
      </x:c>
      <x:c r="C15" s="36" t="n">
        <x:v>10</x:v>
      </x:c>
      <x:c r="D15" s="36" t="n">
        <x:v>6</x:v>
      </x:c>
      <x:c r="E15" s="36" t="n">
        <x:v>28.5</x:v>
      </x:c>
      <x:c r="F15" s="17" t="str"/>
      <x:c r="G15" s="36" t="n">
        <x:f>C15*D15*(E15/12)*7.48052</x:f>
        <x:v>1065.9741000000001</x:v>
      </x:c>
    </x:row>
    <x:row r="16">
      <x:c r="A16" t="str">
        <x:v>R-111</x:v>
      </x:c>
      <x:c r="B16" s="34" t="n">
        <x:v>46195</x:v>
      </x:c>
      <x:c r="C16" s="36" t="n">
        <x:v>10</x:v>
      </x:c>
      <x:c r="D16" s="36" t="n">
        <x:v>6</x:v>
      </x:c>
      <x:c r="E16" s="36" t="n">
        <x:v>30</x:v>
      </x:c>
      <x:c r="F16" s="17" t="str"/>
      <x:c r="G16" s="36" t="n">
        <x:f>C16*D16*(E16/12)*7.48052</x:f>
        <x:v>1122.078</x:v>
      </x:c>
    </x:row>
    <x:row r="17">
      <x:c r="A17" t="str">
        <x:v>R-112</x:v>
      </x:c>
      <x:c r="B17" s="34" t="n">
        <x:v>46197</x:v>
      </x:c>
      <x:c r="C17" s="36" t="n">
        <x:v>10</x:v>
      </x:c>
      <x:c r="D17" s="36" t="n">
        <x:v>6</x:v>
      </x:c>
      <x:c r="E17" s="36" t="n">
        <x:v>32</x:v>
      </x:c>
      <x:c r="F17" s="17" t="str">
        <x:v>Routine verification run</x:v>
      </x:c>
      <x:c r="G17" s="36" t="n">
        <x:f>C17*D17*(E17/12)*7.48052</x:f>
        <x:v>1196.8832</x:v>
      </x:c>
    </x:row>
    <x:row r="18">
      <x:c r="A18" t="str">
        <x:v>R-113</x:v>
      </x:c>
      <x:c r="B18" s="34" t="n">
        <x:v>46199</x:v>
      </x:c>
      <x:c r="C18" s="36" t="n">
        <x:v>12</x:v>
      </x:c>
      <x:c r="D18" s="36" t="n">
        <x:v>5</x:v>
      </x:c>
      <x:c r="E18" s="36" t="n">
        <x:v>14</x:v>
      </x:c>
      <x:c r="F18" s="17" t="str"/>
      <x:c r="G18" s="36" t="n">
        <x:f>C18*D18*(E18/12)*7.48052</x:f>
        <x:v>523.6364</x:v>
      </x:c>
    </x:row>
    <x:row r="19">
      <x:c r="A19" t="str">
        <x:v>R-114</x:v>
      </x:c>
      <x:c r="B19" s="34" t="n">
        <x:v>46201</x:v>
      </x:c>
      <x:c r="C19" s="36" t="n">
        <x:v>12</x:v>
      </x:c>
      <x:c r="D19" s="36" t="n">
        <x:v>5</x:v>
      </x:c>
      <x:c r="E19" s="36" t="n">
        <x:v>16.5</x:v>
      </x:c>
      <x:c r="F19" s="17" t="str"/>
      <x:c r="G19" s="36" t="n">
        <x:f>C19*D19*(E19/12)*7.48052</x:f>
        <x:v>617.1429</x:v>
      </x:c>
    </x:row>
    <x:row r="20">
      <x:c r="A20" t="str">
        <x:v>R-115</x:v>
      </x:c>
      <x:c r="B20" s="34" t="n">
        <x:v>46203</x:v>
      </x:c>
      <x:c r="C20" s="36" t="n">
        <x:v>12</x:v>
      </x:c>
      <x:c r="D20" s="36" t="n">
        <x:v>5</x:v>
      </x:c>
      <x:c r="E20" s="36" t="n">
        <x:v>19</x:v>
      </x:c>
      <x:c r="F20" s="17" t="str"/>
      <x:c r="G20" s="36" t="n">
        <x:f>C20*D20*(E20/12)*7.48052</x:f>
        <x:v>710.6494</x:v>
      </x:c>
    </x:row>
    <x:row r="21">
      <x:c r="A21" t="str">
        <x:v>R-116</x:v>
      </x:c>
      <x:c r="B21" s="34" t="n">
        <x:v>46205</x:v>
      </x:c>
      <x:c r="C21" s="36" t="n">
        <x:v>12</x:v>
      </x:c>
      <x:c r="D21" s="36" t="n">
        <x:v>5</x:v>
      </x:c>
      <x:c r="E21" s="36" t="n">
        <x:v>22</x:v>
      </x:c>
      <x:c r="F21" s="17" t="str">
        <x:v>Routine verification run</x:v>
      </x:c>
      <x:c r="G21" s="36" t="n">
        <x:f>C21*D21*(E21/12)*7.48052</x:f>
        <x:v>822.8572</x:v>
      </x:c>
    </x:row>
    <x:row r="22">
      <x:c r="A22" t="str">
        <x:v>R-117</x:v>
      </x:c>
      <x:c r="B22" s="34" t="n">
        <x:v>46207</x:v>
      </x:c>
      <x:c r="C22" s="36" t="n">
        <x:v>12</x:v>
      </x:c>
      <x:c r="D22" s="36" t="n">
        <x:v>5</x:v>
      </x:c>
      <x:c r="E22" s="36" t="n">
        <x:v>25</x:v>
      </x:c>
      <x:c r="F22" s="17" t="str"/>
      <x:c r="G22" s="36" t="n">
        <x:f>C22*D22*(E22/12)*7.48052</x:f>
        <x:v>935.0650000000002</x:v>
      </x:c>
    </x:row>
    <x:row r="23">
      <x:c r="A23" t="str">
        <x:v>R-118</x:v>
      </x:c>
      <x:c r="B23" s="34" t="n">
        <x:v>46209</x:v>
      </x:c>
      <x:c r="C23" s="36" t="n">
        <x:v>12</x:v>
      </x:c>
      <x:c r="D23" s="36" t="n">
        <x:v>5</x:v>
      </x:c>
      <x:c r="E23" s="36" t="n">
        <x:v>27</x:v>
      </x:c>
      <x:c r="F23" s="17" t="str"/>
      <x:c r="G23" s="36" t="n">
        <x:f>C23*D23*(E23/12)*7.48052</x:f>
        <x:v>1009.8702000000001</x:v>
      </x:c>
    </x:row>
    <x:row r="25">
      <x:c r="F25" s="39" t="str">
        <x:v>TOTAL RECORDED VOLUME</x:v>
      </x:c>
      <x:c r="G25" s="42" t="n">
        <x:f>SUM(G6:G17)</x:f>
        <x:v>8527.792800000001</x:v>
      </x:c>
    </x:row>
    <x:row r="27">
      <x:c r="A27" s="11" t="str">
        <x:v>Legacy Notes</x:v>
      </x:c>
    </x:row>
    <x:row r="28">
      <x:c r="A28" s="16" t="str">
        <x:v>Workbook owner</x:v>
      </x:c>
      <x:c r="B28" s="17" t="str">
        <x:v>Operations Engineering — original owner no longer with company</x:v>
      </x:c>
    </x:row>
    <x:row r="29">
      <x:c r="A29" s="16" t="str">
        <x:v>Last visible revision label</x:v>
      </x:c>
      <x:c r="B29" s="17" t="str">
        <x:v>rev4</x:v>
      </x:c>
    </x:row>
  </x:sheetData>
  <x:mergeCells>
    <x:mergeCell ref="A1:G1"/>
    <x:mergeCell ref="A2:G2"/>
    <x:mergeCell ref="A27:G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14" hidden="0" customWidth="1"/>
    <x:col min="5" max="5" width="16" hidden="0" customWidth="1"/>
    <x:col min="6" max="6" width="38" hidden="0" customWidth="1"/>
  </x:cols>
  <x:sheetData>
    <x:row r="1">
      <x:c r="A1" s="45" t="str">
        <x:v>Field Measurement Notes — Source Records</x:v>
      </x:c>
      <x:c r="B1" s="45"/>
      <x:c r="C1" s="45"/>
      <x:c r="D1" s="45"/>
      <x:c r="E1" s="45"/>
      <x:c r="F1" s="45"/>
    </x:row>
    <x:row r="3">
      <x:c r="A3" s="48" t="str">
        <x:v>Run ID</x:v>
      </x:c>
      <x:c r="B3" s="48" t="str">
        <x:v>Date</x:v>
      </x:c>
      <x:c r="C3" s="48" t="str">
        <x:v>Length</x:v>
      </x:c>
      <x:c r="D3" s="48" t="str">
        <x:v>Width</x:v>
      </x:c>
      <x:c r="E3" s="48" t="str">
        <x:v>Depth Reading</x:v>
      </x:c>
      <x:c r="F3" s="48" t="str">
        <x:v>Technician Note</x:v>
      </x:c>
    </x:row>
    <x:row r="4">
      <x:c r="A4" t="str">
        <x:v>R-101</x:v>
      </x:c>
      <x:c r="B4" s="34" t="n">
        <x:v>46175</x:v>
      </x:c>
      <x:c r="C4" t="str">
        <x:v>10.0 ft</x:v>
      </x:c>
      <x:c r="D4" t="str">
        <x:v>6.0 ft</x:v>
      </x:c>
      <x:c r="E4" t="str">
        <x:v>8.0 in</x:v>
      </x:c>
      <x:c r="F4" s="17" t="str">
        <x:v>Measured at fill completion</x:v>
      </x:c>
    </x:row>
    <x:row r="5">
      <x:c r="A5" t="str">
        <x:v>R-102</x:v>
      </x:c>
      <x:c r="B5" s="34" t="n">
        <x:v>46177</x:v>
      </x:c>
      <x:c r="C5" t="str">
        <x:v>10.0 ft</x:v>
      </x:c>
      <x:c r="D5" t="str">
        <x:v>6.0 ft</x:v>
      </x:c>
      <x:c r="E5" t="str">
        <x:v>10.5 in</x:v>
      </x:c>
      <x:c r="F5" s="17" t="str">
        <x:v>Measured at fill completion</x:v>
      </x:c>
    </x:row>
    <x:row r="6">
      <x:c r="A6" t="str">
        <x:v>R-103</x:v>
      </x:c>
      <x:c r="B6" s="34" t="n">
        <x:v>46179</x:v>
      </x:c>
      <x:c r="C6" t="str">
        <x:v>10.0 ft</x:v>
      </x:c>
      <x:c r="D6" t="str">
        <x:v>6.0 ft</x:v>
      </x:c>
      <x:c r="E6" t="str">
        <x:v>12.0 in</x:v>
      </x:c>
      <x:c r="F6" s="17" t="str">
        <x:v>Measured at fill completion</x:v>
      </x:c>
    </x:row>
    <x:row r="7">
      <x:c r="A7" t="str">
        <x:v>R-104</x:v>
      </x:c>
      <x:c r="B7" s="34" t="n">
        <x:v>46181</x:v>
      </x:c>
      <x:c r="C7" t="str">
        <x:v>10.0 ft</x:v>
      </x:c>
      <x:c r="D7" t="str">
        <x:v>6.0 ft</x:v>
      </x:c>
      <x:c r="E7" t="str">
        <x:v>15.0 in</x:v>
      </x:c>
      <x:c r="F7" s="17" t="str">
        <x:v>Measured at fill completion</x:v>
      </x:c>
    </x:row>
    <x:row r="8">
      <x:c r="A8" t="str">
        <x:v>R-105</x:v>
      </x:c>
      <x:c r="B8" s="34" t="n">
        <x:v>46183</x:v>
      </x:c>
      <x:c r="C8" t="str">
        <x:v>10.0 ft</x:v>
      </x:c>
      <x:c r="D8" t="str">
        <x:v>6.0 ft</x:v>
      </x:c>
      <x:c r="E8" t="str">
        <x:v>18.0 in</x:v>
      </x:c>
      <x:c r="F8" s="17" t="str">
        <x:v>Measured at fill completion</x:v>
      </x:c>
    </x:row>
    <x:row r="9">
      <x:c r="A9" t="str">
        <x:v>R-106</x:v>
      </x:c>
      <x:c r="B9" s="34" t="n">
        <x:v>46185</x:v>
      </x:c>
      <x:c r="C9" t="str">
        <x:v>10.0 ft</x:v>
      </x:c>
      <x:c r="D9" t="str">
        <x:v>6.0 ft</x:v>
      </x:c>
      <x:c r="E9" t="str">
        <x:v>21.5 in</x:v>
      </x:c>
      <x:c r="F9" s="17" t="str">
        <x:v>Measured at fill completion</x:v>
      </x:c>
    </x:row>
    <x:row r="10">
      <x:c r="A10" t="str">
        <x:v>R-107</x:v>
      </x:c>
      <x:c r="B10" s="34" t="n">
        <x:v>46187</x:v>
      </x:c>
      <x:c r="C10" t="str">
        <x:v>10.0 ft</x:v>
      </x:c>
      <x:c r="D10" t="str">
        <x:v>6.0 ft</x:v>
      </x:c>
      <x:c r="E10" t="str">
        <x:v>24.0 in</x:v>
      </x:c>
      <x:c r="F10" s="17" t="str">
        <x:v>Measured at fill completion</x:v>
      </x:c>
    </x:row>
    <x:row r="11">
      <x:c r="A11" t="str">
        <x:v>R-108</x:v>
      </x:c>
      <x:c r="B11" s="34" t="n">
        <x:v>46189</x:v>
      </x:c>
      <x:c r="C11" t="str">
        <x:v>10.0 ft</x:v>
      </x:c>
      <x:c r="D11" t="str">
        <x:v>6.0 ft</x:v>
      </x:c>
      <x:c r="E11" t="str">
        <x:v>2.5 ft</x:v>
      </x:c>
      <x:c r="F11" s="17" t="str">
        <x:v>Handwritten field value entered as recorded</x:v>
      </x:c>
    </x:row>
    <x:row r="12">
      <x:c r="A12" t="str">
        <x:v>R-109</x:v>
      </x:c>
      <x:c r="B12" s="34" t="n">
        <x:v>46191</x:v>
      </x:c>
      <x:c r="C12" t="str">
        <x:v>10.0 ft</x:v>
      </x:c>
      <x:c r="D12" t="str">
        <x:v>6.0 ft</x:v>
      </x:c>
      <x:c r="E12" t="str">
        <x:v>26.0 in</x:v>
      </x:c>
      <x:c r="F12" s="17" t="str">
        <x:v>Measured at fill completion</x:v>
      </x:c>
    </x:row>
    <x:row r="13">
      <x:c r="A13" t="str">
        <x:v>R-110</x:v>
      </x:c>
      <x:c r="B13" s="34" t="n">
        <x:v>46193</x:v>
      </x:c>
      <x:c r="C13" t="str">
        <x:v>10.0 ft</x:v>
      </x:c>
      <x:c r="D13" t="str">
        <x:v>6.0 ft</x:v>
      </x:c>
      <x:c r="E13" t="str">
        <x:v>28.5 in</x:v>
      </x:c>
      <x:c r="F13" s="17" t="str">
        <x:v>Measured at fill completion</x:v>
      </x:c>
    </x:row>
    <x:row r="14">
      <x:c r="A14" t="str">
        <x:v>R-111</x:v>
      </x:c>
      <x:c r="B14" s="34" t="n">
        <x:v>46195</x:v>
      </x:c>
      <x:c r="C14" t="str">
        <x:v>10.0 ft</x:v>
      </x:c>
      <x:c r="D14" t="str">
        <x:v>6.0 ft</x:v>
      </x:c>
      <x:c r="E14" t="str">
        <x:v>30.0 in</x:v>
      </x:c>
      <x:c r="F14" s="17" t="str">
        <x:v>Measured at fill completion</x:v>
      </x:c>
    </x:row>
    <x:row r="15">
      <x:c r="A15" t="str">
        <x:v>R-112</x:v>
      </x:c>
      <x:c r="B15" s="34" t="n">
        <x:v>46197</x:v>
      </x:c>
      <x:c r="C15" t="str">
        <x:v>10.0 ft</x:v>
      </x:c>
      <x:c r="D15" t="str">
        <x:v>6.0 ft</x:v>
      </x:c>
      <x:c r="E15" t="str">
        <x:v>32.0 in</x:v>
      </x:c>
      <x:c r="F15" s="17" t="str">
        <x:v>Measured at fill completion</x:v>
      </x:c>
    </x:row>
    <x:row r="16">
      <x:c r="A16" t="str">
        <x:v>R-113</x:v>
      </x:c>
      <x:c r="B16" s="34" t="n">
        <x:v>46199</x:v>
      </x:c>
      <x:c r="C16" t="str">
        <x:v>12.0 ft</x:v>
      </x:c>
      <x:c r="D16" t="str">
        <x:v>5.0 ft</x:v>
      </x:c>
      <x:c r="E16" t="str">
        <x:v>14.0 in</x:v>
      </x:c>
      <x:c r="F16" s="17" t="str">
        <x:v>Measured at fill completion</x:v>
      </x:c>
    </x:row>
    <x:row r="17">
      <x:c r="A17" t="str">
        <x:v>R-114</x:v>
      </x:c>
      <x:c r="B17" s="34" t="n">
        <x:v>46201</x:v>
      </x:c>
      <x:c r="C17" t="str">
        <x:v>12.0 ft</x:v>
      </x:c>
      <x:c r="D17" t="str">
        <x:v>5.0 ft</x:v>
      </x:c>
      <x:c r="E17" t="str">
        <x:v>16.5 in</x:v>
      </x:c>
      <x:c r="F17" s="17" t="str">
        <x:v>Measured at fill completion</x:v>
      </x:c>
    </x:row>
    <x:row r="18">
      <x:c r="A18" t="str">
        <x:v>R-115</x:v>
      </x:c>
      <x:c r="B18" s="34" t="n">
        <x:v>46203</x:v>
      </x:c>
      <x:c r="C18" t="str">
        <x:v>12.0 ft</x:v>
      </x:c>
      <x:c r="D18" t="str">
        <x:v>5.0 ft</x:v>
      </x:c>
      <x:c r="E18" t="str">
        <x:v>19.0 in</x:v>
      </x:c>
      <x:c r="F18" s="17" t="str">
        <x:v>Measured at fill completion</x:v>
      </x:c>
    </x:row>
    <x:row r="19">
      <x:c r="A19" t="str">
        <x:v>R-116</x:v>
      </x:c>
      <x:c r="B19" s="34" t="n">
        <x:v>46205</x:v>
      </x:c>
      <x:c r="C19" t="str">
        <x:v>12.0 ft</x:v>
      </x:c>
      <x:c r="D19" t="str">
        <x:v>5.0 ft</x:v>
      </x:c>
      <x:c r="E19" t="str">
        <x:v>22.0 in</x:v>
      </x:c>
      <x:c r="F19" s="17" t="str">
        <x:v>Measured at fill completion</x:v>
      </x:c>
    </x:row>
    <x:row r="20">
      <x:c r="A20" t="str">
        <x:v>R-117</x:v>
      </x:c>
      <x:c r="B20" s="34" t="n">
        <x:v>46207</x:v>
      </x:c>
      <x:c r="C20" t="str">
        <x:v>12.0 ft</x:v>
      </x:c>
      <x:c r="D20" t="str">
        <x:v>5.0 ft</x:v>
      </x:c>
      <x:c r="E20" t="str">
        <x:v>25.0 in</x:v>
      </x:c>
      <x:c r="F20" s="17" t="str">
        <x:v>Measured at fill completion</x:v>
      </x:c>
    </x:row>
    <x:row r="21">
      <x:c r="A21" t="str">
        <x:v>R-118</x:v>
      </x:c>
      <x:c r="B21" s="34" t="n">
        <x:v>46209</x:v>
      </x:c>
      <x:c r="C21" t="str">
        <x:v>12.0 ft</x:v>
      </x:c>
      <x:c r="D21" t="str">
        <x:v>5.0 ft</x:v>
      </x:c>
      <x:c r="E21" t="str">
        <x:v>27.0 in</x:v>
      </x:c>
      <x:c r="F21" s="17" t="str">
        <x:v>Measured at fill completion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5" t="str">
        <x:v>EGN 321 — Module 1: The Inherited Workbook</x:v>
      </x:c>
      <x:c r="B1" s="5"/>
      <x:c r="C1" s="5"/>
      <x:c r="D1" s="5"/>
      <x:c r="E1" s="5"/>
      <x:c r="F1" s="5"/>
    </x:row>
    <x:row r="3">
      <x:c r="A3" s="11" t="str">
        <x:v>Legacy Artifact Context</x:v>
      </x:c>
      <x:c r="B3" s="11"/>
      <x:c r="C3" s="11"/>
      <x:c r="D3" s="11"/>
      <x:c r="E3" s="11"/>
      <x:c r="F3" s="11"/>
    </x:row>
    <x:row r="4">
      <x:c r="A4" s="16" t="str">
        <x:v>Purpose</x:v>
      </x:c>
      <x:c r="B4" s="17" t="str">
        <x:v>This workbook was inherited from a previous operations team and is used to estimate liquid volume added during tank-fill runs.</x:v>
      </x:c>
    </x:row>
    <x:row r="5">
      <x:c r="A5" s="16" t="str">
        <x:v>Status</x:v>
      </x:c>
      <x:c r="B5" s="17" t="str">
        <x:v>The workbook has been copied and renamed over time. No current employee can confirm that every formula is correct.</x:v>
      </x:c>
    </x:row>
    <x:row r="6">
      <x:c r="A6" s="16" t="str">
        <x:v>Your task</x:v>
      </x:c>
      <x:c r="B6" s="17" t="str">
        <x:v>Inspect the workbook manually before using Python or generative AI. Document evidence, not guesses.</x:v>
      </x:c>
    </x:row>
    <x:row r="7">
      <x:c r="A7" s="16" t="str">
        <x:v>Important</x:v>
      </x:c>
      <x:c r="B7" s="17" t="str">
        <x:v>Values shown in the workbook may look reasonable even when the underlying logic or data is wrong.</x:v>
      </x:c>
    </x:row>
    <x:row r="8">
      <x:c r="A8" s="16" t="str">
        <x:v>Do not</x:v>
      </x:c>
      <x:c r="B8" s="17" t="str">
        <x:v>Do not modify this original workbook while performing Assignment 1.1. Work from a copy only if you need to experiment.</x:v>
      </x:c>
    </x:row>
  </x:sheetData>
  <x:mergeCells>
    <x:mergeCell ref="A1:F1"/>
    <x:mergeCell ref="A3:F3"/>
  </x:mergeCells>
  <x:pageMargins left="0.7" right="0.7" top="0.75" bottom="0.75" header="0.3" footer="0.3"/>
</x:worksheet>
</file>