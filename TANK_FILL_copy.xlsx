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Fill" sheetId="1" r:id="rId5"/>
    <sheet state="visible" name="Field Notes" sheetId="2" r:id="rId6"/>
  </sheets>
  <definedNames/>
  <calcPr/>
</workbook>
</file>

<file path=xl/sharedStrings.xml><?xml version="1.0" encoding="utf-8"?>
<sst xmlns="http://schemas.openxmlformats.org/spreadsheetml/2006/main" count="134" uniqueCount="64">
  <si>
    <t>TANK_FILL_rev4 — Production Fill Log</t>
  </si>
  <si>
    <t>Field Measurement Notes — Source Records</t>
  </si>
  <si>
    <t>Legacy worksheet — inspect manually before writing code</t>
  </si>
  <si>
    <t>Run ID</t>
  </si>
  <si>
    <t>Date</t>
  </si>
  <si>
    <t>Length</t>
  </si>
  <si>
    <t>Width</t>
  </si>
  <si>
    <t>Depth Reading</t>
  </si>
  <si>
    <t>Technician Note</t>
  </si>
  <si>
    <t>Tank Length (ft)</t>
  </si>
  <si>
    <t>Tank Width (ft)</t>
  </si>
  <si>
    <t>R-101</t>
  </si>
  <si>
    <t>Fill Depth (in)</t>
  </si>
  <si>
    <t>Operator Note</t>
  </si>
  <si>
    <t>Calculated Volume (gal)</t>
  </si>
  <si>
    <t>10.0 ft</t>
  </si>
  <si>
    <t>6.0 ft</t>
  </si>
  <si>
    <t>8.0 in</t>
  </si>
  <si>
    <t>Measured at fill completion</t>
  </si>
  <si>
    <t>R-102</t>
  </si>
  <si>
    <t>10.5 in</t>
  </si>
  <si>
    <t>R-103</t>
  </si>
  <si>
    <t>12.0 in</t>
  </si>
  <si>
    <t>R-104</t>
  </si>
  <si>
    <t>15.0 in</t>
  </si>
  <si>
    <t>R-105</t>
  </si>
  <si>
    <t>18.0 in</t>
  </si>
  <si>
    <t>R-106</t>
  </si>
  <si>
    <t>21.5 in</t>
  </si>
  <si>
    <t>R-107</t>
  </si>
  <si>
    <t>24.0 in</t>
  </si>
  <si>
    <t>R-108</t>
  </si>
  <si>
    <t>30 in</t>
  </si>
  <si>
    <t>Handwritten field value entered as recorded</t>
  </si>
  <si>
    <t>R-109</t>
  </si>
  <si>
    <t>26.0 in</t>
  </si>
  <si>
    <t>R-110</t>
  </si>
  <si>
    <t>28.5 in</t>
  </si>
  <si>
    <t>R-111</t>
  </si>
  <si>
    <t>30.0 in</t>
  </si>
  <si>
    <t>R-112</t>
  </si>
  <si>
    <t>32.0 in</t>
  </si>
  <si>
    <t>R-113</t>
  </si>
  <si>
    <t>12.0 ft</t>
  </si>
  <si>
    <t>5.0 ft</t>
  </si>
  <si>
    <t>14.0 in</t>
  </si>
  <si>
    <t>R-114</t>
  </si>
  <si>
    <t>16.5 in</t>
  </si>
  <si>
    <t>R-115</t>
  </si>
  <si>
    <t>19.0 in</t>
  </si>
  <si>
    <t>R-116</t>
  </si>
  <si>
    <t>22.0 in</t>
  </si>
  <si>
    <t>R-117</t>
  </si>
  <si>
    <t>25.0 in</t>
  </si>
  <si>
    <t>R-118</t>
  </si>
  <si>
    <t>27.0 in</t>
  </si>
  <si>
    <t>Routine verification run</t>
  </si>
  <si>
    <t>Transferred from handwritten field log</t>
  </si>
  <si>
    <t>TOTAL RECORDED VOLUME</t>
  </si>
  <si>
    <t>Legacy Notes</t>
  </si>
  <si>
    <t>Workbook owner</t>
  </si>
  <si>
    <t>Operations Engineering — original owner no longer with company</t>
  </si>
  <si>
    <t>Last visible revision label</t>
  </si>
  <si>
    <t>rev4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</si>
</sst>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5.0"/>
      <color rgb="FFFFFFFF"/>
      <name val="Carlito"/>
    </font>
    <font>
      <i/>
      <sz val="11.0"/>
      <color rgb="FF555555"/>
      <name val="Carlito"/>
    </font>
    <font>
      <b/>
      <sz val="11.0"/>
      <color theme="1"/>
      <name val="Carlito"/>
    </font>
    <font>
      <color theme="1"/>
      <name val="Carlito"/>
      <scheme val="minor"/>
    </font>
    <font>
      <sz val="11.0"/>
      <color theme="1"/>
      <name val="Carlito"/>
    </font>
    <font>
      <b/>
      <color theme="1"/>
      <name val="Carlito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B0000"/>
        <bgColor rgb="FF8B0000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ill="1" applyFont="1">
      <alignment horizontal="center"/>
    </xf>
    <xf borderId="0" fillId="3" fontId="3" numFmtId="0" xfId="0" applyAlignment="1" applyFill="1" applyFont="1">
      <alignment horizontal="center"/>
    </xf>
    <xf borderId="0" fillId="4" fontId="4" numFmtId="0" xfId="0" applyAlignment="1" applyFill="1" applyFont="1">
      <alignment horizontal="center"/>
    </xf>
    <xf borderId="0" fillId="4" fontId="4" numFmtId="0" xfId="0" applyAlignment="1" applyFill="1" applyFont="1">
      <alignment horizontal="center" shrinkToFit="0" wrapText="1"/>
    </xf>
    <xf borderId="0" fillId="0" fontId="5" numFmtId="0" xfId="0" applyFont="1"/>
    <xf borderId="0" fillId="0" fontId="6" numFmtId="164" xfId="0" applyFont="1" applyNumberFormat="1"/>
    <xf borderId="0" fillId="0" fontId="6" numFmtId="2" xfId="0" applyFont="1" applyNumberForma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4" numFmtId="2" xfId="0" applyAlignment="1" applyFont="1" applyNumberFormat="1">
      <alignment readingOrder="0"/>
    </xf>
    <xf borderId="0" fillId="0" fontId="4" numFmtId="2" xfId="0" applyFont="1" applyNumberFormat="1"/>
    <xf borderId="0" fillId="5" fontId="4" numFmtId="0" xfId="0" applyFill="1" applyFont="1"/>
    <xf borderId="0" fillId="5" fontId="4" numFmtId="2" xfId="0" applyFill="1" applyFont="1" applyNumberFormat="1"/>
    <xf borderId="0" fillId="6" fontId="4" numFmtId="0" xfId="0" applyFill="1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3.0"/>
    <col customWidth="1" min="3" max="3" width="18.0"/>
    <col customWidth="1" min="4" max="5" width="17.0"/>
    <col customWidth="1" min="6" max="6" width="34.0"/>
    <col customWidth="1" min="7" max="7" width="23.0"/>
    <col customWidth="1" min="8" max="26" width="8.63"/>
  </cols>
  <sheetData>
    <row r="1">
      <c r="A1" s="1" t="s">
        <v>0</v>
      </c>
    </row>
    <row r="2">
      <c r="A2" s="3" t="s">
        <v>2</v>
      </c>
    </row>
    <row r="5">
      <c r="A5" s="5" t="s">
        <v>3</v>
      </c>
      <c r="B5" s="5" t="s">
        <v>4</v>
      </c>
      <c r="C5" s="5" t="s">
        <v>9</v>
      </c>
      <c r="D5" s="5" t="s">
        <v>10</v>
      </c>
      <c r="E5" s="5" t="s">
        <v>12</v>
      </c>
      <c r="F5" s="5" t="s">
        <v>13</v>
      </c>
      <c r="G5" s="5" t="s">
        <v>14</v>
      </c>
    </row>
    <row r="6">
      <c r="A6" s="6" t="s">
        <v>11</v>
      </c>
      <c r="B6" s="7">
        <v>46175.0</v>
      </c>
      <c r="C6" s="8">
        <v>10.0</v>
      </c>
      <c r="D6" s="8">
        <v>6.0</v>
      </c>
      <c r="E6" s="8">
        <v>8.0</v>
      </c>
      <c r="F6" s="9"/>
      <c r="G6" s="8">
        <f t="shared" ref="G6:G23" si="1">C6*D6*(E6/12)*7.48052</f>
        <v>299.2208</v>
      </c>
    </row>
    <row r="7">
      <c r="A7" s="6" t="s">
        <v>19</v>
      </c>
      <c r="B7" s="7">
        <v>46177.0</v>
      </c>
      <c r="C7" s="8">
        <v>10.0</v>
      </c>
      <c r="D7" s="8">
        <v>6.0</v>
      </c>
      <c r="E7" s="8">
        <v>10.5</v>
      </c>
      <c r="F7" s="9"/>
      <c r="G7" s="8">
        <f t="shared" si="1"/>
        <v>392.7273</v>
      </c>
    </row>
    <row r="8">
      <c r="A8" s="6" t="s">
        <v>21</v>
      </c>
      <c r="B8" s="7">
        <v>46179.0</v>
      </c>
      <c r="C8" s="8">
        <v>10.0</v>
      </c>
      <c r="D8" s="8">
        <v>6.0</v>
      </c>
      <c r="E8" s="8">
        <v>12.0</v>
      </c>
      <c r="F8" s="9" t="s">
        <v>56</v>
      </c>
      <c r="G8" s="8">
        <f t="shared" si="1"/>
        <v>448.8312</v>
      </c>
    </row>
    <row r="9">
      <c r="A9" s="6" t="s">
        <v>23</v>
      </c>
      <c r="B9" s="7">
        <v>46181.0</v>
      </c>
      <c r="C9" s="8">
        <v>10.0</v>
      </c>
      <c r="D9" s="8">
        <v>6.0</v>
      </c>
      <c r="E9" s="8">
        <v>15.0</v>
      </c>
      <c r="F9" s="9"/>
      <c r="G9" s="8">
        <f t="shared" si="1"/>
        <v>561.039</v>
      </c>
    </row>
    <row r="10">
      <c r="A10" s="6" t="s">
        <v>25</v>
      </c>
      <c r="B10" s="7">
        <v>46183.0</v>
      </c>
      <c r="C10" s="8">
        <v>10.0</v>
      </c>
      <c r="D10" s="8">
        <v>6.0</v>
      </c>
      <c r="E10" s="8">
        <v>18.0</v>
      </c>
      <c r="F10" s="9"/>
      <c r="G10" s="8">
        <f t="shared" si="1"/>
        <v>673.2468</v>
      </c>
    </row>
    <row r="11">
      <c r="A11" s="6" t="s">
        <v>27</v>
      </c>
      <c r="B11" s="7">
        <v>46185.0</v>
      </c>
      <c r="C11" s="8">
        <v>10.0</v>
      </c>
      <c r="D11" s="8">
        <v>6.0</v>
      </c>
      <c r="E11" s="8">
        <v>21.5</v>
      </c>
      <c r="F11" s="9"/>
      <c r="G11" s="8">
        <f t="shared" si="1"/>
        <v>804.1559</v>
      </c>
    </row>
    <row r="12">
      <c r="A12" s="6" t="s">
        <v>29</v>
      </c>
      <c r="B12" s="7">
        <v>46187.0</v>
      </c>
      <c r="C12" s="8">
        <v>10.0</v>
      </c>
      <c r="D12" s="8">
        <v>6.0</v>
      </c>
      <c r="E12" s="8">
        <v>24.0</v>
      </c>
      <c r="F12" s="9"/>
      <c r="G12" s="8">
        <f t="shared" si="1"/>
        <v>897.6624</v>
      </c>
    </row>
    <row r="13">
      <c r="A13" s="6" t="s">
        <v>31</v>
      </c>
      <c r="B13" s="7">
        <v>46189.0</v>
      </c>
      <c r="C13" s="8">
        <v>10.0</v>
      </c>
      <c r="D13" s="8">
        <v>6.0</v>
      </c>
      <c r="E13" s="11">
        <v>30.0</v>
      </c>
      <c r="F13" s="9" t="s">
        <v>57</v>
      </c>
      <c r="G13" s="12">
        <f t="shared" si="1"/>
        <v>1122.078</v>
      </c>
    </row>
    <row r="14">
      <c r="A14" s="6" t="s">
        <v>34</v>
      </c>
      <c r="B14" s="7">
        <v>46191.0</v>
      </c>
      <c r="C14" s="8">
        <v>10.0</v>
      </c>
      <c r="D14" s="8">
        <v>6.0</v>
      </c>
      <c r="E14" s="8">
        <v>26.0</v>
      </c>
      <c r="F14" s="9"/>
      <c r="G14" s="8">
        <f t="shared" si="1"/>
        <v>972.4676</v>
      </c>
    </row>
    <row r="15">
      <c r="A15" s="6" t="s">
        <v>36</v>
      </c>
      <c r="B15" s="7">
        <v>46193.0</v>
      </c>
      <c r="C15" s="8">
        <v>10.0</v>
      </c>
      <c r="D15" s="8">
        <v>6.0</v>
      </c>
      <c r="E15" s="8">
        <v>28.5</v>
      </c>
      <c r="F15" s="9"/>
      <c r="G15" s="8">
        <f t="shared" si="1"/>
        <v>1065.9741</v>
      </c>
    </row>
    <row r="16">
      <c r="A16" s="6" t="s">
        <v>38</v>
      </c>
      <c r="B16" s="7">
        <v>46195.0</v>
      </c>
      <c r="C16" s="8">
        <v>10.0</v>
      </c>
      <c r="D16" s="8">
        <v>6.0</v>
      </c>
      <c r="E16" s="8">
        <v>30.0</v>
      </c>
      <c r="F16" s="9"/>
      <c r="G16" s="8">
        <f t="shared" si="1"/>
        <v>1122.078</v>
      </c>
    </row>
    <row r="17">
      <c r="A17" s="6" t="s">
        <v>40</v>
      </c>
      <c r="B17" s="7">
        <v>46197.0</v>
      </c>
      <c r="C17" s="8">
        <v>10.0</v>
      </c>
      <c r="D17" s="8">
        <v>6.0</v>
      </c>
      <c r="E17" s="8">
        <v>32.0</v>
      </c>
      <c r="F17" s="9" t="s">
        <v>56</v>
      </c>
      <c r="G17" s="8">
        <f t="shared" si="1"/>
        <v>1196.8832</v>
      </c>
    </row>
    <row r="18">
      <c r="A18" s="6" t="s">
        <v>42</v>
      </c>
      <c r="B18" s="7">
        <v>46199.0</v>
      </c>
      <c r="C18" s="8">
        <v>12.0</v>
      </c>
      <c r="D18" s="8">
        <v>5.0</v>
      </c>
      <c r="E18" s="8">
        <v>14.0</v>
      </c>
      <c r="F18" s="9"/>
      <c r="G18" s="8">
        <f t="shared" si="1"/>
        <v>523.6364</v>
      </c>
    </row>
    <row r="19">
      <c r="A19" s="6" t="s">
        <v>46</v>
      </c>
      <c r="B19" s="7">
        <v>46201.0</v>
      </c>
      <c r="C19" s="8">
        <v>12.0</v>
      </c>
      <c r="D19" s="8">
        <v>5.0</v>
      </c>
      <c r="E19" s="8">
        <v>16.5</v>
      </c>
      <c r="F19" s="9"/>
      <c r="G19" s="8">
        <f t="shared" si="1"/>
        <v>617.1429</v>
      </c>
    </row>
    <row r="20">
      <c r="A20" s="6" t="s">
        <v>48</v>
      </c>
      <c r="B20" s="7">
        <v>46203.0</v>
      </c>
      <c r="C20" s="8">
        <v>12.0</v>
      </c>
      <c r="D20" s="8">
        <v>5.0</v>
      </c>
      <c r="E20" s="8">
        <v>19.0</v>
      </c>
      <c r="F20" s="9"/>
      <c r="G20" s="8">
        <f t="shared" si="1"/>
        <v>710.6494</v>
      </c>
    </row>
    <row r="21" ht="15.75" customHeight="1">
      <c r="A21" s="6" t="s">
        <v>50</v>
      </c>
      <c r="B21" s="7">
        <v>46205.0</v>
      </c>
      <c r="C21" s="8">
        <v>12.0</v>
      </c>
      <c r="D21" s="8">
        <v>5.0</v>
      </c>
      <c r="E21" s="8">
        <v>22.0</v>
      </c>
      <c r="F21" s="9" t="s">
        <v>56</v>
      </c>
      <c r="G21" s="8">
        <f t="shared" si="1"/>
        <v>822.8572</v>
      </c>
    </row>
    <row r="22" ht="15.75" customHeight="1">
      <c r="A22" s="6" t="s">
        <v>52</v>
      </c>
      <c r="B22" s="7">
        <v>46207.0</v>
      </c>
      <c r="C22" s="8">
        <v>12.0</v>
      </c>
      <c r="D22" s="8">
        <v>5.0</v>
      </c>
      <c r="E22" s="8">
        <v>25.0</v>
      </c>
      <c r="F22" s="9"/>
      <c r="G22" s="8">
        <f t="shared" si="1"/>
        <v>935.065</v>
      </c>
    </row>
    <row r="23" ht="15.75" customHeight="1">
      <c r="A23" s="6" t="s">
        <v>54</v>
      </c>
      <c r="B23" s="7">
        <v>46209.0</v>
      </c>
      <c r="C23" s="8">
        <v>12.0</v>
      </c>
      <c r="D23" s="8">
        <v>5.0</v>
      </c>
      <c r="E23" s="8">
        <v>27.0</v>
      </c>
      <c r="F23" s="9"/>
      <c r="G23" s="8">
        <f t="shared" si="1"/>
        <v>1009.8702</v>
      </c>
    </row>
    <row r="24" ht="15.75" customHeight="1"/>
    <row r="25" ht="15.75" customHeight="1">
      <c r="F25" s="13" t="s">
        <v>58</v>
      </c>
      <c r="G25" s="14">
        <f>SUM(G6:G23)</f>
        <v>14175.5854</v>
      </c>
    </row>
    <row r="26" ht="15.75" customHeight="1"/>
    <row r="27" ht="15.75" customHeight="1">
      <c r="A27" s="15" t="s">
        <v>59</v>
      </c>
    </row>
    <row r="28" ht="15.75" customHeight="1">
      <c r="A28" s="16" t="s">
        <v>60</v>
      </c>
      <c r="B28" s="9" t="s">
        <v>61</v>
      </c>
    </row>
    <row r="29" ht="15.75" customHeight="1">
      <c r="A29" s="16" t="s">
        <v>62</v>
      </c>
      <c r="B29" s="9" t="s">
        <v>63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27:G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3.0"/>
    <col customWidth="1" min="3" max="4" width="14.0"/>
    <col customWidth="1" min="5" max="5" width="16.0"/>
    <col customWidth="1" min="6" max="6" width="38.0"/>
    <col customWidth="1" min="7" max="26" width="8.63"/>
  </cols>
  <sheetData>
    <row r="1">
      <c r="A1" s="2" t="s">
        <v>1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</row>
    <row r="4">
      <c r="A4" s="6" t="s">
        <v>11</v>
      </c>
      <c r="B4" s="7">
        <v>46175.0</v>
      </c>
      <c r="C4" s="6" t="s">
        <v>15</v>
      </c>
      <c r="D4" s="6" t="s">
        <v>16</v>
      </c>
      <c r="E4" s="6" t="s">
        <v>17</v>
      </c>
      <c r="F4" s="9" t="s">
        <v>18</v>
      </c>
    </row>
    <row r="5">
      <c r="A5" s="6" t="s">
        <v>19</v>
      </c>
      <c r="B5" s="7">
        <v>46177.0</v>
      </c>
      <c r="C5" s="6" t="s">
        <v>15</v>
      </c>
      <c r="D5" s="6" t="s">
        <v>16</v>
      </c>
      <c r="E5" s="6" t="s">
        <v>20</v>
      </c>
      <c r="F5" s="9" t="s">
        <v>18</v>
      </c>
    </row>
    <row r="6">
      <c r="A6" s="6" t="s">
        <v>21</v>
      </c>
      <c r="B6" s="7">
        <v>46179.0</v>
      </c>
      <c r="C6" s="6" t="s">
        <v>15</v>
      </c>
      <c r="D6" s="6" t="s">
        <v>16</v>
      </c>
      <c r="E6" s="6" t="s">
        <v>22</v>
      </c>
      <c r="F6" s="9" t="s">
        <v>18</v>
      </c>
    </row>
    <row r="7">
      <c r="A7" s="6" t="s">
        <v>23</v>
      </c>
      <c r="B7" s="7">
        <v>46181.0</v>
      </c>
      <c r="C7" s="6" t="s">
        <v>15</v>
      </c>
      <c r="D7" s="6" t="s">
        <v>16</v>
      </c>
      <c r="E7" s="6" t="s">
        <v>24</v>
      </c>
      <c r="F7" s="9" t="s">
        <v>18</v>
      </c>
    </row>
    <row r="8">
      <c r="A8" s="6" t="s">
        <v>25</v>
      </c>
      <c r="B8" s="7">
        <v>46183.0</v>
      </c>
      <c r="C8" s="6" t="s">
        <v>15</v>
      </c>
      <c r="D8" s="6" t="s">
        <v>16</v>
      </c>
      <c r="E8" s="6" t="s">
        <v>26</v>
      </c>
      <c r="F8" s="9" t="s">
        <v>18</v>
      </c>
    </row>
    <row r="9">
      <c r="A9" s="6" t="s">
        <v>27</v>
      </c>
      <c r="B9" s="7">
        <v>46185.0</v>
      </c>
      <c r="C9" s="6" t="s">
        <v>15</v>
      </c>
      <c r="D9" s="6" t="s">
        <v>16</v>
      </c>
      <c r="E9" s="6" t="s">
        <v>28</v>
      </c>
      <c r="F9" s="9" t="s">
        <v>18</v>
      </c>
    </row>
    <row r="10">
      <c r="A10" s="6" t="s">
        <v>29</v>
      </c>
      <c r="B10" s="7">
        <v>46187.0</v>
      </c>
      <c r="C10" s="6" t="s">
        <v>15</v>
      </c>
      <c r="D10" s="6" t="s">
        <v>16</v>
      </c>
      <c r="E10" s="6" t="s">
        <v>30</v>
      </c>
      <c r="F10" s="9" t="s">
        <v>18</v>
      </c>
    </row>
    <row r="11">
      <c r="A11" s="6" t="s">
        <v>31</v>
      </c>
      <c r="B11" s="7">
        <v>46189.0</v>
      </c>
      <c r="C11" s="6" t="s">
        <v>15</v>
      </c>
      <c r="D11" s="6" t="s">
        <v>16</v>
      </c>
      <c r="E11" s="10" t="s">
        <v>32</v>
      </c>
      <c r="F11" s="9" t="s">
        <v>33</v>
      </c>
    </row>
    <row r="12">
      <c r="A12" s="6" t="s">
        <v>34</v>
      </c>
      <c r="B12" s="7">
        <v>46191.0</v>
      </c>
      <c r="C12" s="6" t="s">
        <v>15</v>
      </c>
      <c r="D12" s="6" t="s">
        <v>16</v>
      </c>
      <c r="E12" s="6" t="s">
        <v>35</v>
      </c>
      <c r="F12" s="9" t="s">
        <v>18</v>
      </c>
    </row>
    <row r="13">
      <c r="A13" s="6" t="s">
        <v>36</v>
      </c>
      <c r="B13" s="7">
        <v>46193.0</v>
      </c>
      <c r="C13" s="6" t="s">
        <v>15</v>
      </c>
      <c r="D13" s="6" t="s">
        <v>16</v>
      </c>
      <c r="E13" s="6" t="s">
        <v>37</v>
      </c>
      <c r="F13" s="9" t="s">
        <v>18</v>
      </c>
    </row>
    <row r="14">
      <c r="A14" s="6" t="s">
        <v>38</v>
      </c>
      <c r="B14" s="7">
        <v>46195.0</v>
      </c>
      <c r="C14" s="6" t="s">
        <v>15</v>
      </c>
      <c r="D14" s="6" t="s">
        <v>16</v>
      </c>
      <c r="E14" s="6" t="s">
        <v>39</v>
      </c>
      <c r="F14" s="9" t="s">
        <v>18</v>
      </c>
    </row>
    <row r="15">
      <c r="A15" s="6" t="s">
        <v>40</v>
      </c>
      <c r="B15" s="7">
        <v>46197.0</v>
      </c>
      <c r="C15" s="6" t="s">
        <v>15</v>
      </c>
      <c r="D15" s="6" t="s">
        <v>16</v>
      </c>
      <c r="E15" s="6" t="s">
        <v>41</v>
      </c>
      <c r="F15" s="9" t="s">
        <v>18</v>
      </c>
    </row>
    <row r="16">
      <c r="A16" s="6" t="s">
        <v>42</v>
      </c>
      <c r="B16" s="7">
        <v>46199.0</v>
      </c>
      <c r="C16" s="6" t="s">
        <v>43</v>
      </c>
      <c r="D16" s="6" t="s">
        <v>44</v>
      </c>
      <c r="E16" s="6" t="s">
        <v>45</v>
      </c>
      <c r="F16" s="9" t="s">
        <v>18</v>
      </c>
    </row>
    <row r="17">
      <c r="A17" s="6" t="s">
        <v>46</v>
      </c>
      <c r="B17" s="7">
        <v>46201.0</v>
      </c>
      <c r="C17" s="6" t="s">
        <v>43</v>
      </c>
      <c r="D17" s="6" t="s">
        <v>44</v>
      </c>
      <c r="E17" s="6" t="s">
        <v>47</v>
      </c>
      <c r="F17" s="9" t="s">
        <v>18</v>
      </c>
    </row>
    <row r="18">
      <c r="A18" s="6" t="s">
        <v>48</v>
      </c>
      <c r="B18" s="7">
        <v>46203.0</v>
      </c>
      <c r="C18" s="6" t="s">
        <v>43</v>
      </c>
      <c r="D18" s="6" t="s">
        <v>44</v>
      </c>
      <c r="E18" s="6" t="s">
        <v>49</v>
      </c>
      <c r="F18" s="9" t="s">
        <v>18</v>
      </c>
    </row>
    <row r="19">
      <c r="A19" s="6" t="s">
        <v>50</v>
      </c>
      <c r="B19" s="7">
        <v>46205.0</v>
      </c>
      <c r="C19" s="6" t="s">
        <v>43</v>
      </c>
      <c r="D19" s="6" t="s">
        <v>44</v>
      </c>
      <c r="E19" s="6" t="s">
        <v>51</v>
      </c>
      <c r="F19" s="9" t="s">
        <v>18</v>
      </c>
    </row>
    <row r="20">
      <c r="A20" s="6" t="s">
        <v>52</v>
      </c>
      <c r="B20" s="7">
        <v>46207.0</v>
      </c>
      <c r="C20" s="6" t="s">
        <v>43</v>
      </c>
      <c r="D20" s="6" t="s">
        <v>44</v>
      </c>
      <c r="E20" s="6" t="s">
        <v>53</v>
      </c>
      <c r="F20" s="9" t="s">
        <v>18</v>
      </c>
    </row>
    <row r="21" ht="15.75" customHeight="1">
      <c r="A21" s="6" t="s">
        <v>54</v>
      </c>
      <c r="B21" s="7">
        <v>46209.0</v>
      </c>
      <c r="C21" s="6" t="s">
        <v>43</v>
      </c>
      <c r="D21" s="6" t="s">
        <v>44</v>
      </c>
      <c r="E21" s="6" t="s">
        <v>55</v>
      </c>
      <c r="F21" s="9" t="s">
        <v>18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